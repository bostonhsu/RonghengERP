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B1" i="7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E6" s="1"/>
  <c r="D7"/>
  <c r="E7" s="1"/>
  <c r="D8"/>
  <c r="E8" s="1"/>
  <c r="D9"/>
  <c r="E9" s="1"/>
  <c r="D10"/>
  <c r="E10" s="1"/>
  <c r="D11"/>
  <c r="E11" s="1"/>
  <c r="D12"/>
  <c r="E12" s="1"/>
  <c r="D13"/>
  <c r="E13" s="1"/>
  <c r="D14"/>
  <c r="E14" s="1"/>
  <c r="D15"/>
  <c r="E15" s="1"/>
  <c r="D16"/>
  <c r="E16" s="1"/>
  <c r="D17"/>
  <c r="E17" s="1"/>
  <c r="D1" i="7" l="1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此列数据是工艺处根据工艺标准进行测定。</t>
        </r>
      </text>
    </comment>
  </commentList>
</comments>
</file>

<file path=xl/sharedStrings.xml><?xml version="1.0" encoding="utf-8"?>
<sst xmlns="http://schemas.openxmlformats.org/spreadsheetml/2006/main" count="254" uniqueCount="102">
  <si>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</si>
  <si>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</si>
  <si>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</si>
  <si>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</si>
  <si>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</si>
  <si>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</si>
  <si>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</si>
  <si>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</si>
  <si>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</si>
  <si>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</si>
  <si>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</si>
  <si>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</si>
  <si>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</si>
  <si>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</si>
  <si>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</si>
  <si>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</si>
  <si>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</si>
  <si>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</si>
  <si>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</si>
  <si>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</si>
  <si>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</si>
  <si>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</si>
  <si>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</si>
  <si>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</si>
  <si>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</si>
  <si>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</si>
  <si>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</si>
  <si>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</si>
  <si>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</si>
  <si>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</si>
  <si>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</si>
  <si>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</si>
  <si>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</si>
  <si>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</si>
  <si>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</si>
  <si>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</si>
  <si>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</si>
  <si>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</si>
  <si>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</si>
  <si>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</si>
  <si>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</si>
  <si>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</si>
  <si>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</si>
  <si>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</si>
  <si>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</si>
  <si>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</si>
  <si>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</si>
  <si>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</si>
  <si>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</si>
  <si>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</si>
  <si>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</si>
  <si>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</si>
  <si>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</si>
  <si>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</si>
  <si>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</si>
  <si>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</si>
  <si>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</si>
  <si>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</si>
  <si>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</si>
  <si>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</si>
  <si>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</si>
  <si>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</si>
  <si>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</si>
  <si>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</si>
  <si>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</si>
  <si>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</si>
  <si>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</si>
  <si>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</si>
  <si>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</si>
  <si>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</si>
  <si>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</si>
  <si>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</si>
  <si>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</si>
  <si>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</si>
  <si>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</si>
  <si>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</si>
  <si>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</si>
  <si>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</si>
  <si>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</si>
  <si>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</si>
  <si>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</si>
  <si>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</si>
  <si>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</si>
  <si>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</si>
  <si>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</si>
  <si>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</si>
  <si>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</si>
  <si>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</si>
  <si>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</si>
  <si>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</si>
  <si>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</si>
  <si>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</si>
  <si>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</si>
  <si>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</si>
  <si>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</si>
  <si>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</si>
  <si>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</si>
  <si>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</si>
  <si>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</si>
  <si>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</si>
  <si>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</si>
  <si>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JJ0001</t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</si>
</sst>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178" fontId="0" fillId="5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704850</xdr:colOff>
      <xdr:row>5</xdr:row>
      <xdr:rowOff>57150</xdr:rowOff>
    </xdr:from>
    <xdr:to>
      <xdr:col>8</xdr:col>
      <xdr:colOff>190501</xdr:colOff>
      <xdr:row>25</xdr:row>
      <xdr:rowOff>19049</xdr:rowOff>
    </xdr:to>
    <xdr:sp macro="" textlink="">
      <xdr:nvSpPr>
        <xdr:cNvPr id="2" name="TextBox 1"/>
        <xdr:cNvSpPr txBox="1"/>
      </xdr:nvSpPr>
      <xdr:spPr>
        <a:xfrm>
          <a:off x="5543550" y="1609725"/>
          <a:ext cx="3419476" cy="33908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算法：压蜡排产。</a:t>
          </a:r>
          <a:endParaRPr lang="en-US" altLang="zh-CN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  1. </a:t>
          </a:r>
          <a:r>
            <a:rPr lang="zh-CN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判断该合同号现有需要排班工时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是否大于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0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，大于进入循环体。</a:t>
          </a:r>
          <a:endParaRPr lang="en-US" altLang="zh-CN" sz="1100"/>
        </a:p>
        <a:p>
          <a:r>
            <a:rPr lang="zh-CN" altLang="en-US" sz="1100"/>
            <a:t>          </a:t>
          </a:r>
          <a:r>
            <a:rPr lang="en-US" altLang="zh-CN" sz="1100"/>
            <a:t>2. </a:t>
          </a:r>
          <a:r>
            <a:rPr lang="zh-CN" altLang="en-US" sz="1100"/>
            <a:t>根据压蜡工序先找到甩尾工位号，并得到其已排产工时，该值的取值范围为：</a:t>
          </a:r>
          <a:r>
            <a:rPr lang="en-US" altLang="zh-CN" sz="1100"/>
            <a:t>(0, </a:t>
          </a:r>
          <a:r>
            <a:rPr lang="zh-CN" altLang="en-US" sz="1100"/>
            <a:t>个人满排班工时</a:t>
          </a:r>
          <a:r>
            <a:rPr lang="en-US" altLang="zh-CN" sz="1100"/>
            <a:t>]</a:t>
          </a:r>
          <a:r>
            <a:rPr lang="zh-CN" altLang="en-US" sz="1100"/>
            <a:t>。</a:t>
          </a:r>
          <a:endParaRPr lang="en-US" altLang="zh-CN" sz="1100"/>
        </a:p>
        <a:p>
          <a:r>
            <a:rPr lang="zh-CN" altLang="en-US" sz="1100"/>
            <a:t>                   </a:t>
          </a:r>
          <a:r>
            <a:rPr lang="en-US" altLang="zh-CN" sz="1100"/>
            <a:t>2.1 </a:t>
          </a:r>
          <a:r>
            <a:rPr lang="zh-CN" altLang="en-US" sz="1100"/>
            <a:t>若非个人满排班工时，则</a:t>
          </a:r>
          <a:endParaRPr lang="en-US" altLang="zh-CN" sz="1100"/>
        </a:p>
        <a:p>
          <a:r>
            <a:rPr lang="en-US" altLang="zh-CN" sz="1100"/>
            <a:t>	</a:t>
          </a:r>
          <a:r>
            <a:rPr lang="zh-CN" altLang="en-US" sz="1100"/>
            <a:t>用需排产工时减去该甩尾工位号的已排产工时，用以更新该合同号需要排班的总工时，并  增加一条排班记录，合同号字段为该合同号，工位号为该工位号，排产工时为：个人满排班工时</a:t>
          </a:r>
          <a:r>
            <a:rPr lang="en-US" altLang="zh-CN" sz="1100"/>
            <a:t>-</a:t>
          </a:r>
          <a:r>
            <a:rPr lang="zh-CN" altLang="en-US" sz="1100"/>
            <a:t>已排产工时，排产数依照元数据工艺处</a:t>
          </a:r>
          <a:r>
            <a:rPr lang="en-US" altLang="zh-CN" sz="1100"/>
            <a:t>!D2</a:t>
          </a:r>
          <a:r>
            <a:rPr lang="zh-CN" altLang="en-US" sz="1100"/>
            <a:t>倍率进行计算获得，天数按照排产工时</a:t>
          </a:r>
          <a:r>
            <a:rPr lang="en-US" altLang="zh-CN" sz="1100"/>
            <a:t>/24</a:t>
          </a:r>
          <a:r>
            <a:rPr lang="zh-CN" altLang="en-US" sz="1100"/>
            <a:t>获得。</a:t>
          </a:r>
          <a:endParaRPr lang="en-US" altLang="zh-CN" sz="1100"/>
        </a:p>
        <a:p>
          <a:r>
            <a:rPr lang="zh-CN" altLang="en-US" sz="1100"/>
            <a:t>                   </a:t>
          </a:r>
          <a:r>
            <a:rPr lang="en-US" altLang="zh-CN" sz="1100"/>
            <a:t>2.2</a:t>
          </a:r>
          <a:r>
            <a:rPr lang="en-US" altLang="zh-CN" sz="1100" baseline="0"/>
            <a:t> </a:t>
          </a:r>
          <a:r>
            <a:rPr lang="zh-CN" altLang="en-US" sz="1100"/>
            <a:t>若为个人满排班工时，则</a:t>
          </a:r>
          <a:endParaRPr lang="en-US" altLang="zh-CN" sz="1100"/>
        </a:p>
        <a:p>
          <a:r>
            <a:rPr lang="en-US" altLang="zh-CN" sz="1100"/>
            <a:t>	</a:t>
          </a:r>
          <a:r>
            <a:rPr lang="zh-CN" altLang="en-US" sz="1100"/>
            <a:t>找到甩尾工位号的下一位工位号，对其进行个人满排班工时排班。（找下一位工位号需要安排算法）</a:t>
          </a:r>
          <a:endParaRPr lang="en-US" altLang="zh-CN" sz="1100"/>
        </a:p>
        <a:p>
          <a:endParaRPr lang="en-US" altLang="zh-C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1.xml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B3" sqref="B3:B18"/>
    </sheetView>
  </sheetViews>
  <sheetFormatPr defaultRowHeight="13.5"/>
  <cols>
    <col min="1" max="1" width="9" style="5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topLeftCell="A43" workbookViewId="0">
      <selection activeCell="A62" sqref="A62"/>
    </sheetView>
  </sheetViews>
  <sheetFormatPr defaultRowHeight="13.5"/>
  <cols>
    <col min="1" max="1" width="9" style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1" t="s">
        <v>28</v>
      </c>
      <c r="B2" s="2" t="s">
        <v>89</v>
      </c>
      <c r="C2" s="2" t="s">
        <v>91</v>
      </c>
    </row>
    <row r="3" spans="1:3">
      <c r="A3" s="21" t="s">
        <v>29</v>
      </c>
      <c r="B3" s="2" t="s">
        <v>89</v>
      </c>
      <c r="C3" s="2" t="s">
        <v>91</v>
      </c>
    </row>
    <row r="4" spans="1:3">
      <c r="A4" s="21" t="s">
        <v>30</v>
      </c>
      <c r="B4" s="2" t="s">
        <v>89</v>
      </c>
      <c r="C4" s="2" t="s">
        <v>91</v>
      </c>
    </row>
    <row r="5" spans="1:3">
      <c r="A5" s="21" t="s">
        <v>31</v>
      </c>
      <c r="B5" s="2" t="s">
        <v>89</v>
      </c>
      <c r="C5" s="2" t="s">
        <v>91</v>
      </c>
    </row>
    <row r="6" spans="1:3">
      <c r="A6" s="21" t="s">
        <v>32</v>
      </c>
      <c r="B6" s="2" t="s">
        <v>89</v>
      </c>
      <c r="C6" s="2" t="s">
        <v>91</v>
      </c>
    </row>
    <row r="7" spans="1:3">
      <c r="A7" s="21" t="s">
        <v>33</v>
      </c>
      <c r="B7" s="2" t="s">
        <v>89</v>
      </c>
      <c r="C7" s="2" t="s">
        <v>91</v>
      </c>
    </row>
    <row r="8" spans="1:3">
      <c r="A8" s="21" t="s">
        <v>34</v>
      </c>
      <c r="B8" s="2" t="s">
        <v>89</v>
      </c>
      <c r="C8" s="2" t="s">
        <v>91</v>
      </c>
    </row>
    <row r="9" spans="1:3">
      <c r="A9" s="21" t="s">
        <v>35</v>
      </c>
      <c r="B9" s="2" t="s">
        <v>89</v>
      </c>
      <c r="C9" s="2" t="s">
        <v>91</v>
      </c>
    </row>
    <row r="10" spans="1:3">
      <c r="A10" s="21" t="s">
        <v>36</v>
      </c>
      <c r="B10" s="2" t="s">
        <v>89</v>
      </c>
      <c r="C10" s="2" t="s">
        <v>91</v>
      </c>
    </row>
    <row r="11" spans="1:3">
      <c r="A11" s="21" t="s">
        <v>37</v>
      </c>
      <c r="B11" s="2" t="s">
        <v>89</v>
      </c>
      <c r="C11" s="2" t="s">
        <v>91</v>
      </c>
    </row>
    <row r="12" spans="1:3">
      <c r="A12" s="21" t="s">
        <v>38</v>
      </c>
      <c r="B12" s="2" t="s">
        <v>89</v>
      </c>
      <c r="C12" s="2" t="s">
        <v>91</v>
      </c>
    </row>
    <row r="13" spans="1:3">
      <c r="A13" s="21" t="s">
        <v>39</v>
      </c>
      <c r="B13" s="2" t="s">
        <v>89</v>
      </c>
      <c r="C13" s="2" t="s">
        <v>91</v>
      </c>
    </row>
    <row r="14" spans="1:3">
      <c r="A14" s="21" t="s">
        <v>40</v>
      </c>
      <c r="B14" s="2" t="s">
        <v>89</v>
      </c>
      <c r="C14" s="2" t="s">
        <v>91</v>
      </c>
    </row>
    <row r="15" spans="1:3">
      <c r="A15" s="21" t="s">
        <v>41</v>
      </c>
      <c r="B15" s="2" t="s">
        <v>89</v>
      </c>
      <c r="C15" s="2" t="s">
        <v>91</v>
      </c>
    </row>
    <row r="16" spans="1:3">
      <c r="A16" s="21" t="s">
        <v>42</v>
      </c>
      <c r="B16" s="2" t="s">
        <v>89</v>
      </c>
      <c r="C16" s="2" t="s">
        <v>91</v>
      </c>
    </row>
    <row r="17" spans="1:3">
      <c r="A17" s="21" t="s">
        <v>43</v>
      </c>
      <c r="B17" s="2" t="s">
        <v>89</v>
      </c>
      <c r="C17" s="2" t="s">
        <v>91</v>
      </c>
    </row>
    <row r="18" spans="1:3">
      <c r="A18" s="21" t="s">
        <v>44</v>
      </c>
      <c r="B18" s="2" t="s">
        <v>89</v>
      </c>
      <c r="C18" s="2" t="s">
        <v>91</v>
      </c>
    </row>
    <row r="19" spans="1:3">
      <c r="A19" s="21" t="s">
        <v>45</v>
      </c>
      <c r="B19" s="2" t="s">
        <v>89</v>
      </c>
      <c r="C19" s="2" t="s">
        <v>91</v>
      </c>
    </row>
    <row r="20" spans="1:3">
      <c r="A20" s="21" t="s">
        <v>46</v>
      </c>
      <c r="B20" s="2" t="s">
        <v>89</v>
      </c>
      <c r="C20" s="2" t="s">
        <v>91</v>
      </c>
    </row>
    <row r="21" spans="1:3">
      <c r="A21" s="21" t="s">
        <v>47</v>
      </c>
      <c r="B21" s="2" t="s">
        <v>89</v>
      </c>
      <c r="C21" s="2" t="s">
        <v>91</v>
      </c>
    </row>
    <row r="22" spans="1:3">
      <c r="A22" s="21" t="s">
        <v>48</v>
      </c>
      <c r="B22" s="2" t="s">
        <v>89</v>
      </c>
      <c r="C22" s="2" t="s">
        <v>92</v>
      </c>
    </row>
    <row r="23" spans="1:3">
      <c r="A23" s="21" t="s">
        <v>49</v>
      </c>
      <c r="B23" s="2" t="s">
        <v>89</v>
      </c>
      <c r="C23" s="2" t="s">
        <v>92</v>
      </c>
    </row>
    <row r="24" spans="1:3">
      <c r="A24" s="21" t="s">
        <v>50</v>
      </c>
      <c r="B24" s="2" t="s">
        <v>89</v>
      </c>
      <c r="C24" s="2" t="s">
        <v>92</v>
      </c>
    </row>
    <row r="25" spans="1:3">
      <c r="A25" s="21" t="s">
        <v>51</v>
      </c>
      <c r="B25" s="2" t="s">
        <v>89</v>
      </c>
      <c r="C25" s="2" t="s">
        <v>92</v>
      </c>
    </row>
    <row r="26" spans="1:3">
      <c r="A26" s="21" t="s">
        <v>52</v>
      </c>
      <c r="B26" s="2" t="s">
        <v>89</v>
      </c>
      <c r="C26" s="2" t="s">
        <v>92</v>
      </c>
    </row>
    <row r="27" spans="1:3">
      <c r="A27" s="21" t="s">
        <v>53</v>
      </c>
      <c r="B27" s="2" t="s">
        <v>89</v>
      </c>
      <c r="C27" s="2" t="s">
        <v>92</v>
      </c>
    </row>
    <row r="28" spans="1:3">
      <c r="A28" s="21" t="s">
        <v>54</v>
      </c>
      <c r="B28" s="2" t="s">
        <v>89</v>
      </c>
      <c r="C28" s="2" t="s">
        <v>92</v>
      </c>
    </row>
    <row r="29" spans="1:3">
      <c r="A29" s="21" t="s">
        <v>55</v>
      </c>
      <c r="B29" s="2" t="s">
        <v>89</v>
      </c>
      <c r="C29" s="2" t="s">
        <v>92</v>
      </c>
    </row>
    <row r="30" spans="1:3">
      <c r="A30" s="21" t="s">
        <v>56</v>
      </c>
      <c r="B30" s="2" t="s">
        <v>89</v>
      </c>
      <c r="C30" s="2" t="s">
        <v>92</v>
      </c>
    </row>
    <row r="31" spans="1:3">
      <c r="A31" s="21" t="s">
        <v>57</v>
      </c>
      <c r="B31" s="2" t="s">
        <v>89</v>
      </c>
      <c r="C31" s="2" t="s">
        <v>92</v>
      </c>
    </row>
    <row r="32" spans="1:3">
      <c r="A32" s="21" t="s">
        <v>58</v>
      </c>
      <c r="B32" s="2" t="s">
        <v>89</v>
      </c>
      <c r="C32" s="2" t="s">
        <v>92</v>
      </c>
    </row>
    <row r="33" spans="1:3">
      <c r="A33" s="21" t="s">
        <v>59</v>
      </c>
      <c r="B33" s="2" t="s">
        <v>89</v>
      </c>
      <c r="C33" s="2" t="s">
        <v>92</v>
      </c>
    </row>
    <row r="34" spans="1:3">
      <c r="A34" s="21" t="s">
        <v>60</v>
      </c>
      <c r="B34" s="2" t="s">
        <v>89</v>
      </c>
      <c r="C34" s="2" t="s">
        <v>92</v>
      </c>
    </row>
    <row r="35" spans="1:3">
      <c r="A35" s="21" t="s">
        <v>61</v>
      </c>
      <c r="B35" s="2" t="s">
        <v>89</v>
      </c>
      <c r="C35" s="2" t="s">
        <v>92</v>
      </c>
    </row>
    <row r="36" spans="1:3">
      <c r="A36" s="21" t="s">
        <v>62</v>
      </c>
      <c r="B36" s="2" t="s">
        <v>89</v>
      </c>
      <c r="C36" s="2" t="s">
        <v>92</v>
      </c>
    </row>
    <row r="37" spans="1:3">
      <c r="A37" s="21" t="s">
        <v>63</v>
      </c>
      <c r="B37" s="2" t="s">
        <v>89</v>
      </c>
      <c r="C37" s="2" t="s">
        <v>92</v>
      </c>
    </row>
    <row r="38" spans="1:3">
      <c r="A38" s="21" t="s">
        <v>64</v>
      </c>
      <c r="B38" s="2" t="s">
        <v>89</v>
      </c>
      <c r="C38" s="2" t="s">
        <v>92</v>
      </c>
    </row>
    <row r="39" spans="1:3">
      <c r="A39" s="21" t="s">
        <v>65</v>
      </c>
      <c r="B39" s="2" t="s">
        <v>89</v>
      </c>
      <c r="C39" s="2" t="s">
        <v>92</v>
      </c>
    </row>
    <row r="40" spans="1:3">
      <c r="A40" s="21" t="s">
        <v>66</v>
      </c>
      <c r="B40" s="2" t="s">
        <v>89</v>
      </c>
      <c r="C40" s="2" t="s">
        <v>92</v>
      </c>
    </row>
    <row r="41" spans="1:3">
      <c r="A41" s="21" t="s">
        <v>67</v>
      </c>
      <c r="B41" s="2" t="s">
        <v>89</v>
      </c>
      <c r="C41" s="2" t="s">
        <v>92</v>
      </c>
    </row>
    <row r="42" spans="1:3">
      <c r="A42" s="21" t="s">
        <v>68</v>
      </c>
      <c r="B42" s="2" t="s">
        <v>89</v>
      </c>
      <c r="C42" s="2" t="s">
        <v>93</v>
      </c>
    </row>
    <row r="43" spans="1:3">
      <c r="A43" s="21" t="s">
        <v>69</v>
      </c>
      <c r="B43" s="2" t="s">
        <v>89</v>
      </c>
      <c r="C43" s="2" t="s">
        <v>93</v>
      </c>
    </row>
    <row r="44" spans="1:3">
      <c r="A44" s="21" t="s">
        <v>70</v>
      </c>
      <c r="B44" s="2" t="s">
        <v>89</v>
      </c>
      <c r="C44" s="2" t="s">
        <v>93</v>
      </c>
    </row>
    <row r="45" spans="1:3">
      <c r="A45" s="21" t="s">
        <v>71</v>
      </c>
      <c r="B45" s="2" t="s">
        <v>89</v>
      </c>
      <c r="C45" s="2" t="s">
        <v>93</v>
      </c>
    </row>
    <row r="46" spans="1:3">
      <c r="A46" s="21" t="s">
        <v>72</v>
      </c>
      <c r="B46" s="2" t="s">
        <v>89</v>
      </c>
      <c r="C46" s="2" t="s">
        <v>93</v>
      </c>
    </row>
    <row r="47" spans="1:3">
      <c r="A47" s="21" t="s">
        <v>73</v>
      </c>
      <c r="B47" s="2" t="s">
        <v>89</v>
      </c>
      <c r="C47" s="2" t="s">
        <v>93</v>
      </c>
    </row>
    <row r="48" spans="1:3">
      <c r="A48" s="21" t="s">
        <v>74</v>
      </c>
      <c r="B48" s="2" t="s">
        <v>89</v>
      </c>
      <c r="C48" s="2" t="s">
        <v>93</v>
      </c>
    </row>
    <row r="49" spans="1:3">
      <c r="A49" s="21" t="s">
        <v>75</v>
      </c>
      <c r="B49" s="2" t="s">
        <v>89</v>
      </c>
      <c r="C49" s="2" t="s">
        <v>93</v>
      </c>
    </row>
    <row r="50" spans="1:3">
      <c r="A50" s="21" t="s">
        <v>76</v>
      </c>
      <c r="B50" s="2" t="s">
        <v>89</v>
      </c>
      <c r="C50" s="2" t="s">
        <v>93</v>
      </c>
    </row>
    <row r="51" spans="1:3">
      <c r="A51" s="21" t="s">
        <v>77</v>
      </c>
      <c r="B51" s="2" t="s">
        <v>89</v>
      </c>
      <c r="C51" s="2" t="s">
        <v>93</v>
      </c>
    </row>
    <row r="52" spans="1:3">
      <c r="A52" s="21" t="s">
        <v>78</v>
      </c>
      <c r="B52" s="2" t="s">
        <v>89</v>
      </c>
      <c r="C52" s="2" t="s">
        <v>93</v>
      </c>
    </row>
    <row r="53" spans="1:3">
      <c r="A53" s="21" t="s">
        <v>79</v>
      </c>
      <c r="B53" s="2" t="s">
        <v>89</v>
      </c>
      <c r="C53" s="2" t="s">
        <v>93</v>
      </c>
    </row>
    <row r="54" spans="1:3">
      <c r="A54" s="21" t="s">
        <v>80</v>
      </c>
      <c r="B54" s="2" t="s">
        <v>89</v>
      </c>
      <c r="C54" s="2" t="s">
        <v>93</v>
      </c>
    </row>
    <row r="55" spans="1:3">
      <c r="A55" s="21" t="s">
        <v>81</v>
      </c>
      <c r="B55" s="2" t="s">
        <v>89</v>
      </c>
      <c r="C55" s="2" t="s">
        <v>93</v>
      </c>
    </row>
    <row r="56" spans="1:3">
      <c r="A56" s="21" t="s">
        <v>82</v>
      </c>
      <c r="B56" s="2" t="s">
        <v>89</v>
      </c>
      <c r="C56" s="2" t="s">
        <v>93</v>
      </c>
    </row>
    <row r="57" spans="1:3">
      <c r="A57" s="21" t="s">
        <v>83</v>
      </c>
      <c r="B57" s="2" t="s">
        <v>89</v>
      </c>
      <c r="C57" s="2" t="s">
        <v>93</v>
      </c>
    </row>
    <row r="58" spans="1:3">
      <c r="A58" s="21" t="s">
        <v>84</v>
      </c>
      <c r="B58" s="2" t="s">
        <v>89</v>
      </c>
      <c r="C58" s="2" t="s">
        <v>93</v>
      </c>
    </row>
    <row r="59" spans="1:3">
      <c r="A59" s="21" t="s">
        <v>85</v>
      </c>
      <c r="B59" s="2" t="s">
        <v>89</v>
      </c>
      <c r="C59" s="2" t="s">
        <v>93</v>
      </c>
    </row>
    <row r="60" spans="1:3">
      <c r="A60" s="21" t="s">
        <v>86</v>
      </c>
      <c r="B60" s="2" t="s">
        <v>89</v>
      </c>
      <c r="C60" s="2" t="s">
        <v>93</v>
      </c>
    </row>
    <row r="61" spans="1:3">
      <c r="A61" s="21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F5" sqref="F5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6" bestFit="1" customWidth="1"/>
    <col min="4" max="4" width="12.75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2" t="str">
        <f>根据合同号的总数据通算!B1</f>
        <v>JJ0001</v>
      </c>
      <c r="C1" s="24" t="s">
        <v>96</v>
      </c>
      <c r="D1" s="17">
        <f>根据合同号的总数据通算!B3</f>
        <v>5940</v>
      </c>
      <c r="E1" s="5" t="s">
        <v>97</v>
      </c>
      <c r="F1" s="18">
        <f>根据合同号的总数据通算!C3</f>
        <v>217.62931034482756</v>
      </c>
      <c r="G1" s="5" t="s">
        <v>94</v>
      </c>
      <c r="H1" s="19">
        <v>10</v>
      </c>
      <c r="I1" s="13" t="s">
        <v>95</v>
      </c>
      <c r="J1" s="20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2"/>
      <c r="C2" s="29"/>
    </row>
    <row r="3" spans="1:12">
      <c r="A3" s="12">
        <v>7</v>
      </c>
      <c r="B3" s="23" t="s">
        <v>101</v>
      </c>
      <c r="C3" s="25" t="s">
        <v>34</v>
      </c>
      <c r="D3">
        <v>3.1225455630000001</v>
      </c>
    </row>
    <row r="4" spans="1:12">
      <c r="A4" s="28"/>
      <c r="B4" s="23"/>
      <c r="C4" s="25"/>
    </row>
    <row r="5" spans="1:12">
      <c r="A5" s="28"/>
      <c r="B5" s="23"/>
      <c r="C5" s="25"/>
      <c r="J5" s="27"/>
    </row>
    <row r="6" spans="1:12">
      <c r="A6" s="28"/>
      <c r="B6" s="23"/>
      <c r="C6" s="25"/>
      <c r="J6" s="27"/>
    </row>
    <row r="7" spans="1:12">
      <c r="A7" s="28"/>
      <c r="B7" s="23"/>
      <c r="C7" s="25"/>
    </row>
    <row r="8" spans="1:12">
      <c r="A8" s="28"/>
      <c r="B8" s="23"/>
      <c r="C8" s="25"/>
    </row>
    <row r="9" spans="1:12">
      <c r="A9" s="28"/>
      <c r="B9" s="23"/>
      <c r="C9" s="25"/>
    </row>
    <row r="10" spans="1:12">
      <c r="B10" s="23"/>
      <c r="C10" s="25"/>
    </row>
    <row r="11" spans="1:12">
      <c r="B11" s="23"/>
      <c r="C11" s="25"/>
    </row>
    <row r="12" spans="1:12">
      <c r="B12" s="23"/>
      <c r="C12" s="25"/>
    </row>
    <row r="13" spans="1:12">
      <c r="B13" s="23"/>
      <c r="C13" s="25"/>
    </row>
    <row r="14" spans="1:12">
      <c r="B14" s="23"/>
      <c r="C14" s="25"/>
    </row>
    <row r="15" spans="1:12">
      <c r="B15" s="23"/>
      <c r="C15" s="25"/>
    </row>
    <row r="16" spans="1:12">
      <c r="B16" s="23"/>
      <c r="C16" s="25"/>
    </row>
    <row r="17" spans="2:3">
      <c r="B17" s="23"/>
      <c r="C17" s="2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oleObjects>
    <oleObject progId="Visio" shapeId="4099" r:id="rId4"/>
  </oleObjects>
  <controls>
    <control shapeId="4097" r:id="rId5" name="btnPaiCha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2017-01-03T06:55:56Z</dcterms:modified>
</cp:coreProperties>
</file>