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ston Hsu\Documents\GitHub\RonghengERP\"/>
    </mc:Choice>
  </mc:AlternateContent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B1" i="7" l="1"/>
  <c r="B3" i="4"/>
  <c r="B4" i="4" s="1"/>
  <c r="D2" i="6"/>
  <c r="D3" i="6"/>
  <c r="E3" i="6" s="1"/>
  <c r="D4" i="6"/>
  <c r="D5" i="6"/>
  <c r="E5" i="6" s="1"/>
  <c r="D6" i="6"/>
  <c r="D7" i="6"/>
  <c r="E7" i="6" s="1"/>
  <c r="D8" i="6"/>
  <c r="D9" i="6"/>
  <c r="E9" i="6" s="1"/>
  <c r="D10" i="6"/>
  <c r="D11" i="6"/>
  <c r="E11" i="6" s="1"/>
  <c r="D12" i="6"/>
  <c r="D13" i="6"/>
  <c r="E13" i="6" s="1"/>
  <c r="D14" i="6"/>
  <c r="D15" i="6"/>
  <c r="E15" i="6" s="1"/>
  <c r="D16" i="6"/>
  <c r="D17" i="6"/>
  <c r="E17" i="6" s="1"/>
  <c r="B5" i="4" l="1"/>
  <c r="D2" i="7"/>
  <c r="E16" i="6"/>
  <c r="E12" i="6"/>
  <c r="E8" i="6"/>
  <c r="E4" i="6"/>
  <c r="E14" i="6"/>
  <c r="E10" i="6"/>
  <c r="E6" i="6"/>
  <c r="D1" i="7"/>
  <c r="C3" i="4"/>
  <c r="F1" i="7" s="1"/>
  <c r="C5" i="4"/>
  <c r="F3" i="7" s="1"/>
  <c r="C4" i="4"/>
  <c r="F2" i="7" s="1"/>
  <c r="B6" i="4" l="1"/>
  <c r="D3" i="7"/>
  <c r="B7" i="4" l="1"/>
  <c r="D4" i="7"/>
  <c r="C6" i="4"/>
  <c r="F4" i="7" s="1"/>
  <c r="B8" i="4" l="1"/>
  <c r="D5" i="7"/>
  <c r="C7" i="4"/>
  <c r="F5" i="7" s="1"/>
  <c r="B9" i="4" l="1"/>
  <c r="D6" i="7"/>
  <c r="C8" i="4"/>
  <c r="F6" i="7" s="1"/>
  <c r="B10" i="4" l="1"/>
  <c r="D7" i="7"/>
  <c r="C9" i="4"/>
  <c r="F7" i="7" s="1"/>
  <c r="B11" i="4" l="1"/>
  <c r="D8" i="7"/>
  <c r="C10" i="4"/>
  <c r="F8" i="7" s="1"/>
  <c r="B12" i="4" l="1"/>
  <c r="D9" i="7"/>
  <c r="C11" i="4"/>
  <c r="F9" i="7" s="1"/>
  <c r="B13" i="4" l="1"/>
  <c r="D10" i="7"/>
  <c r="C12" i="4"/>
  <c r="F10" i="7" s="1"/>
  <c r="B14" i="4" l="1"/>
  <c r="D11" i="7"/>
  <c r="C13" i="4"/>
  <c r="F11" i="7" s="1"/>
  <c r="B15" i="4" l="1"/>
  <c r="D12" i="7"/>
  <c r="C14" i="4"/>
  <c r="F12" i="7" s="1"/>
  <c r="B16" i="4" l="1"/>
  <c r="D13" i="7"/>
  <c r="C15" i="4"/>
  <c r="F13" i="7" s="1"/>
  <c r="B17" i="4" l="1"/>
  <c r="D14" i="7"/>
  <c r="C16" i="4"/>
  <c r="F14" i="7" s="1"/>
  <c r="B18" i="4" l="1"/>
  <c r="D15" i="7"/>
  <c r="C17" i="4"/>
  <c r="F15" i="7" s="1"/>
  <c r="C18" i="4" l="1"/>
  <c r="F16" i="7" s="1"/>
  <c r="D16" i="7"/>
</calcChain>
</file>

<file path=xl/sharedStrings.xml><?xml version="1.0" encoding="utf-8"?>
<sst xmlns="http://schemas.openxmlformats.org/spreadsheetml/2006/main" count="282" uniqueCount="116">
  <si>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</si>
  <si>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</si>
  <si>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</si>
  <si>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</si>
  <si>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</si>
  <si>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</si>
  <si>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</si>
  <si>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</si>
  <si>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</si>
  <si>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</si>
  <si>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</si>
  <si>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</si>
  <si>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</si>
  <si>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</si>
  <si>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</si>
  <si>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</si>
  <si>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</si>
  <si>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</si>
  <si>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</si>
  <si>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</si>
  <si>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</si>
  <si>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</si>
  <si>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</si>
  <si>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</si>
  <si>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</si>
  <si>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</si>
  <si>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</si>
  <si>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</si>
  <si>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</si>
  <si>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</si>
  <si>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</si>
  <si>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</si>
  <si>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</si>
  <si>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</si>
  <si>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</si>
  <si>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</si>
  <si>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</si>
  <si>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</si>
  <si>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</si>
  <si>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</si>
  <si>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</si>
  <si>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</si>
  <si>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</si>
  <si>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</si>
  <si>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</si>
  <si>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</si>
  <si>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</si>
  <si>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</si>
  <si>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</si>
  <si>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</si>
  <si>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</si>
  <si>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</si>
  <si>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</si>
  <si>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</si>
  <si>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</si>
  <si>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</si>
  <si>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</si>
  <si>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</si>
  <si>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</si>
  <si>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</si>
  <si>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</si>
  <si>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</si>
  <si>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</si>
  <si>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</si>
  <si>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</si>
  <si>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</si>
  <si>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</si>
  <si>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</si>
  <si>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</si>
  <si>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</si>
  <si>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</si>
  <si>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</si>
  <si>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</si>
  <si>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</si>
  <si>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</si>
  <si>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</si>
  <si>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</si>
  <si>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</si>
  <si>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</si>
  <si>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</si>
  <si>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</si>
  <si>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</si>
  <si>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</si>
  <si>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</si>
  <si>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</si>
  <si>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</si>
  <si>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</si>
  <si>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</si>
  <si>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</si>
  <si>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</si>
  <si>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</si>
  <si>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</si>
  <si>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</si>
  <si>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</si>
  <si>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</si>
  <si>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</si>
  <si>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</si>
  <si>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</si>
  <si>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</si>
  <si>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</si>
  <si>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</si>
  <si>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</si>
  <si>
    <t>蜡检需排产自然件数</t>
    <phoneticPr fontId="2" type="noConversion"/>
  </si>
  <si>
    <t>焊接需排产自然件数</t>
    <phoneticPr fontId="2" type="noConversion"/>
  </si>
  <si>
    <t>制壳线需排产自然件数</t>
    <phoneticPr fontId="2" type="noConversion"/>
  </si>
  <si>
    <t>脱蜡需排产自然件数</t>
    <phoneticPr fontId="2" type="noConversion"/>
  </si>
  <si>
    <t>焙烧需排产自然件数</t>
    <phoneticPr fontId="2" type="noConversion"/>
  </si>
  <si>
    <t>熔炼需排产自然件数</t>
    <phoneticPr fontId="2" type="noConversion"/>
  </si>
  <si>
    <t>浇铸需排产自然件数</t>
    <phoneticPr fontId="2" type="noConversion"/>
  </si>
  <si>
    <t>落砂需排产自然件数</t>
    <phoneticPr fontId="2" type="noConversion"/>
  </si>
  <si>
    <t>切割需排产自然件数</t>
    <phoneticPr fontId="2" type="noConversion"/>
  </si>
  <si>
    <t>滚筒需排产自然件数</t>
    <phoneticPr fontId="2" type="noConversion"/>
  </si>
  <si>
    <t>清砂需排产自然件数</t>
    <phoneticPr fontId="2" type="noConversion"/>
  </si>
  <si>
    <t>喷砂需排产自然件数</t>
    <phoneticPr fontId="2" type="noConversion"/>
  </si>
  <si>
    <t>修整需排产自然件数</t>
    <phoneticPr fontId="2" type="noConversion"/>
  </si>
  <si>
    <t>坯检需排产自然件数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</si>
</sst>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_ "/>
    <numFmt numFmtId="165" formatCode="0.00_);[Red]\(0.00\)"/>
    <numFmt numFmtId="166" formatCode="0_ "/>
    <numFmt numFmtId="167" formatCode="yyyy/m/d\ h:mm;@"/>
  </numFmts>
  <fonts count="3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64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65" fontId="0" fillId="3" borderId="0" xfId="0" applyNumberFormat="1" applyFill="1" applyAlignment="1">
      <alignment horizontal="center" vertical="center"/>
    </xf>
    <xf numFmtId="165" fontId="0" fillId="2" borderId="0" xfId="0" applyNumberFormat="1" applyFill="1">
      <alignment vertical="center"/>
    </xf>
    <xf numFmtId="165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66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0" fontId="0" fillId="5" borderId="0" xfId="0" applyNumberFormat="1" applyFill="1" applyAlignment="1">
      <alignment horizontal="center" vertical="center"/>
    </xf>
    <xf numFmtId="166" fontId="0" fillId="2" borderId="0" xfId="0" applyNumberFormat="1" applyFill="1">
      <alignment vertical="center"/>
    </xf>
    <xf numFmtId="167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64" fontId="0" fillId="4" borderId="0" xfId="0" applyNumberFormat="1" applyFill="1" applyAlignment="1">
      <alignment horizontal="center" vertical="center"/>
    </xf>
    <xf numFmtId="164" fontId="0" fillId="0" borderId="0" xfId="0" applyNumberFormat="1" applyFill="1">
      <alignment vertical="center"/>
    </xf>
    <xf numFmtId="164" fontId="0" fillId="0" borderId="0" xfId="0" applyNumberFormat="1">
      <alignment vertical="center"/>
    </xf>
    <xf numFmtId="167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38100</xdr:rowOff>
        </xdr:from>
        <xdr:to>
          <xdr:col>6</xdr:col>
          <xdr:colOff>461963</xdr:colOff>
          <xdr:row>1</xdr:row>
          <xdr:rowOff>190500</xdr:rowOff>
        </xdr:to>
        <xdr:sp macro="" textlink="">
          <xdr:nvSpPr>
            <xdr:cNvPr id="4097" name="btnPaiCha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DE197C2-E956-4428-98C3-AAB744B05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</xdr:row>
          <xdr:rowOff>42863</xdr:rowOff>
        </xdr:from>
        <xdr:to>
          <xdr:col>6</xdr:col>
          <xdr:colOff>471488</xdr:colOff>
          <xdr:row>5</xdr:row>
          <xdr:rowOff>52388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F0EB8DCD-5C69-42BA-9A47-EEF2758BB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workbookViewId="0">
      <selection activeCell="C2" sqref="C2"/>
    </sheetView>
  </sheetViews>
  <sheetFormatPr defaultRowHeight="14.25"/>
  <cols>
    <col min="1" max="1" width="9" style="4" customWidth="1"/>
    <col min="2" max="3" width="11" bestFit="1" customWidth="1"/>
    <col min="4" max="4" width="13" bestFit="1" customWidth="1"/>
    <col min="5" max="5" width="17.2656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B11" sqref="B11"/>
    </sheetView>
  </sheetViews>
  <sheetFormatPr defaultRowHeight="14.2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workbookViewId="0">
      <selection activeCell="B14" sqref="B14"/>
    </sheetView>
  </sheetViews>
  <sheetFormatPr defaultRowHeight="14.25"/>
  <cols>
    <col min="1" max="1" width="9" style="5" customWidth="1"/>
    <col min="2" max="2" width="17.265625" bestFit="1" customWidth="1"/>
    <col min="3" max="3" width="19.265625" bestFit="1" customWidth="1"/>
    <col min="4" max="4" width="9.46484375" bestFit="1" customWidth="1"/>
    <col min="5" max="5" width="17.265625" bestFit="1" customWidth="1"/>
    <col min="6" max="6" width="20.46484375" bestFit="1" customWidth="1"/>
    <col min="7" max="7" width="22.73046875" bestFit="1" customWidth="1"/>
    <col min="8" max="8" width="16.1328125" bestFit="1" customWidth="1"/>
    <col min="9" max="9" width="15.1328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1"/>
  <sheetViews>
    <sheetView workbookViewId="0">
      <selection activeCell="A62" sqref="A62"/>
    </sheetView>
  </sheetViews>
  <sheetFormatPr defaultRowHeight="14.2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0" t="s">
        <v>28</v>
      </c>
      <c r="B2" s="2" t="s">
        <v>89</v>
      </c>
      <c r="C2" s="2" t="s">
        <v>91</v>
      </c>
    </row>
    <row r="3" spans="1:3">
      <c r="A3" s="20" t="s">
        <v>29</v>
      </c>
      <c r="B3" s="2" t="s">
        <v>89</v>
      </c>
      <c r="C3" s="2" t="s">
        <v>91</v>
      </c>
    </row>
    <row r="4" spans="1:3">
      <c r="A4" s="20" t="s">
        <v>30</v>
      </c>
      <c r="B4" s="2" t="s">
        <v>89</v>
      </c>
      <c r="C4" s="2" t="s">
        <v>91</v>
      </c>
    </row>
    <row r="5" spans="1:3">
      <c r="A5" s="20" t="s">
        <v>31</v>
      </c>
      <c r="B5" s="2" t="s">
        <v>89</v>
      </c>
      <c r="C5" s="2" t="s">
        <v>91</v>
      </c>
    </row>
    <row r="6" spans="1:3">
      <c r="A6" s="20" t="s">
        <v>32</v>
      </c>
      <c r="B6" s="2" t="s">
        <v>89</v>
      </c>
      <c r="C6" s="2" t="s">
        <v>91</v>
      </c>
    </row>
    <row r="7" spans="1:3">
      <c r="A7" s="20" t="s">
        <v>33</v>
      </c>
      <c r="B7" s="2" t="s">
        <v>89</v>
      </c>
      <c r="C7" s="2" t="s">
        <v>91</v>
      </c>
    </row>
    <row r="8" spans="1:3">
      <c r="A8" s="20" t="s">
        <v>34</v>
      </c>
      <c r="B8" s="2" t="s">
        <v>89</v>
      </c>
      <c r="C8" s="2" t="s">
        <v>91</v>
      </c>
    </row>
    <row r="9" spans="1:3">
      <c r="A9" s="20" t="s">
        <v>35</v>
      </c>
      <c r="B9" s="2" t="s">
        <v>89</v>
      </c>
      <c r="C9" s="2" t="s">
        <v>91</v>
      </c>
    </row>
    <row r="10" spans="1:3">
      <c r="A10" s="20" t="s">
        <v>36</v>
      </c>
      <c r="B10" s="2" t="s">
        <v>89</v>
      </c>
      <c r="C10" s="2" t="s">
        <v>91</v>
      </c>
    </row>
    <row r="11" spans="1:3">
      <c r="A11" s="20" t="s">
        <v>37</v>
      </c>
      <c r="B11" s="2" t="s">
        <v>89</v>
      </c>
      <c r="C11" s="2" t="s">
        <v>91</v>
      </c>
    </row>
    <row r="12" spans="1:3">
      <c r="A12" s="20" t="s">
        <v>38</v>
      </c>
      <c r="B12" s="2" t="s">
        <v>89</v>
      </c>
      <c r="C12" s="2" t="s">
        <v>91</v>
      </c>
    </row>
    <row r="13" spans="1:3">
      <c r="A13" s="20" t="s">
        <v>39</v>
      </c>
      <c r="B13" s="2" t="s">
        <v>89</v>
      </c>
      <c r="C13" s="2" t="s">
        <v>91</v>
      </c>
    </row>
    <row r="14" spans="1:3">
      <c r="A14" s="20" t="s">
        <v>40</v>
      </c>
      <c r="B14" s="2" t="s">
        <v>89</v>
      </c>
      <c r="C14" s="2" t="s">
        <v>91</v>
      </c>
    </row>
    <row r="15" spans="1:3">
      <c r="A15" s="20" t="s">
        <v>41</v>
      </c>
      <c r="B15" s="2" t="s">
        <v>89</v>
      </c>
      <c r="C15" s="2" t="s">
        <v>91</v>
      </c>
    </row>
    <row r="16" spans="1:3">
      <c r="A16" s="20" t="s">
        <v>42</v>
      </c>
      <c r="B16" s="2" t="s">
        <v>89</v>
      </c>
      <c r="C16" s="2" t="s">
        <v>91</v>
      </c>
    </row>
    <row r="17" spans="1:3">
      <c r="A17" s="20" t="s">
        <v>43</v>
      </c>
      <c r="B17" s="2" t="s">
        <v>89</v>
      </c>
      <c r="C17" s="2" t="s">
        <v>91</v>
      </c>
    </row>
    <row r="18" spans="1:3">
      <c r="A18" s="20" t="s">
        <v>44</v>
      </c>
      <c r="B18" s="2" t="s">
        <v>89</v>
      </c>
      <c r="C18" s="2" t="s">
        <v>91</v>
      </c>
    </row>
    <row r="19" spans="1:3">
      <c r="A19" s="20" t="s">
        <v>45</v>
      </c>
      <c r="B19" s="2" t="s">
        <v>89</v>
      </c>
      <c r="C19" s="2" t="s">
        <v>91</v>
      </c>
    </row>
    <row r="20" spans="1:3">
      <c r="A20" s="20" t="s">
        <v>46</v>
      </c>
      <c r="B20" s="2" t="s">
        <v>89</v>
      </c>
      <c r="C20" s="2" t="s">
        <v>91</v>
      </c>
    </row>
    <row r="21" spans="1:3">
      <c r="A21" s="20" t="s">
        <v>47</v>
      </c>
      <c r="B21" s="2" t="s">
        <v>89</v>
      </c>
      <c r="C21" s="2" t="s">
        <v>91</v>
      </c>
    </row>
    <row r="22" spans="1:3">
      <c r="A22" s="20" t="s">
        <v>48</v>
      </c>
      <c r="B22" s="2" t="s">
        <v>89</v>
      </c>
      <c r="C22" s="2" t="s">
        <v>92</v>
      </c>
    </row>
    <row r="23" spans="1:3">
      <c r="A23" s="20" t="s">
        <v>49</v>
      </c>
      <c r="B23" s="2" t="s">
        <v>89</v>
      </c>
      <c r="C23" s="2" t="s">
        <v>92</v>
      </c>
    </row>
    <row r="24" spans="1:3">
      <c r="A24" s="20" t="s">
        <v>50</v>
      </c>
      <c r="B24" s="2" t="s">
        <v>89</v>
      </c>
      <c r="C24" s="2" t="s">
        <v>92</v>
      </c>
    </row>
    <row r="25" spans="1:3">
      <c r="A25" s="20" t="s">
        <v>51</v>
      </c>
      <c r="B25" s="2" t="s">
        <v>89</v>
      </c>
      <c r="C25" s="2" t="s">
        <v>92</v>
      </c>
    </row>
    <row r="26" spans="1:3">
      <c r="A26" s="20" t="s">
        <v>52</v>
      </c>
      <c r="B26" s="2" t="s">
        <v>89</v>
      </c>
      <c r="C26" s="2" t="s">
        <v>92</v>
      </c>
    </row>
    <row r="27" spans="1:3">
      <c r="A27" s="20" t="s">
        <v>53</v>
      </c>
      <c r="B27" s="2" t="s">
        <v>89</v>
      </c>
      <c r="C27" s="2" t="s">
        <v>92</v>
      </c>
    </row>
    <row r="28" spans="1:3">
      <c r="A28" s="20" t="s">
        <v>54</v>
      </c>
      <c r="B28" s="2" t="s">
        <v>89</v>
      </c>
      <c r="C28" s="2" t="s">
        <v>92</v>
      </c>
    </row>
    <row r="29" spans="1:3">
      <c r="A29" s="20" t="s">
        <v>55</v>
      </c>
      <c r="B29" s="2" t="s">
        <v>89</v>
      </c>
      <c r="C29" s="2" t="s">
        <v>92</v>
      </c>
    </row>
    <row r="30" spans="1:3">
      <c r="A30" s="20" t="s">
        <v>56</v>
      </c>
      <c r="B30" s="2" t="s">
        <v>89</v>
      </c>
      <c r="C30" s="2" t="s">
        <v>92</v>
      </c>
    </row>
    <row r="31" spans="1:3">
      <c r="A31" s="20" t="s">
        <v>57</v>
      </c>
      <c r="B31" s="2" t="s">
        <v>89</v>
      </c>
      <c r="C31" s="2" t="s">
        <v>92</v>
      </c>
    </row>
    <row r="32" spans="1:3">
      <c r="A32" s="20" t="s">
        <v>58</v>
      </c>
      <c r="B32" s="2" t="s">
        <v>89</v>
      </c>
      <c r="C32" s="2" t="s">
        <v>92</v>
      </c>
    </row>
    <row r="33" spans="1:3">
      <c r="A33" s="20" t="s">
        <v>59</v>
      </c>
      <c r="B33" s="2" t="s">
        <v>89</v>
      </c>
      <c r="C33" s="2" t="s">
        <v>92</v>
      </c>
    </row>
    <row r="34" spans="1:3">
      <c r="A34" s="20" t="s">
        <v>60</v>
      </c>
      <c r="B34" s="2" t="s">
        <v>89</v>
      </c>
      <c r="C34" s="2" t="s">
        <v>92</v>
      </c>
    </row>
    <row r="35" spans="1:3">
      <c r="A35" s="20" t="s">
        <v>61</v>
      </c>
      <c r="B35" s="2" t="s">
        <v>89</v>
      </c>
      <c r="C35" s="2" t="s">
        <v>92</v>
      </c>
    </row>
    <row r="36" spans="1:3">
      <c r="A36" s="20" t="s">
        <v>62</v>
      </c>
      <c r="B36" s="2" t="s">
        <v>89</v>
      </c>
      <c r="C36" s="2" t="s">
        <v>92</v>
      </c>
    </row>
    <row r="37" spans="1:3">
      <c r="A37" s="20" t="s">
        <v>63</v>
      </c>
      <c r="B37" s="2" t="s">
        <v>89</v>
      </c>
      <c r="C37" s="2" t="s">
        <v>92</v>
      </c>
    </row>
    <row r="38" spans="1:3">
      <c r="A38" s="20" t="s">
        <v>64</v>
      </c>
      <c r="B38" s="2" t="s">
        <v>89</v>
      </c>
      <c r="C38" s="2" t="s">
        <v>92</v>
      </c>
    </row>
    <row r="39" spans="1:3">
      <c r="A39" s="20" t="s">
        <v>65</v>
      </c>
      <c r="B39" s="2" t="s">
        <v>89</v>
      </c>
      <c r="C39" s="2" t="s">
        <v>92</v>
      </c>
    </row>
    <row r="40" spans="1:3">
      <c r="A40" s="20" t="s">
        <v>66</v>
      </c>
      <c r="B40" s="2" t="s">
        <v>89</v>
      </c>
      <c r="C40" s="2" t="s">
        <v>92</v>
      </c>
    </row>
    <row r="41" spans="1:3">
      <c r="A41" s="20" t="s">
        <v>67</v>
      </c>
      <c r="B41" s="2" t="s">
        <v>89</v>
      </c>
      <c r="C41" s="2" t="s">
        <v>92</v>
      </c>
    </row>
    <row r="42" spans="1:3">
      <c r="A42" s="20" t="s">
        <v>68</v>
      </c>
      <c r="B42" s="2" t="s">
        <v>89</v>
      </c>
      <c r="C42" s="2" t="s">
        <v>93</v>
      </c>
    </row>
    <row r="43" spans="1:3">
      <c r="A43" s="20" t="s">
        <v>69</v>
      </c>
      <c r="B43" s="2" t="s">
        <v>89</v>
      </c>
      <c r="C43" s="2" t="s">
        <v>93</v>
      </c>
    </row>
    <row r="44" spans="1:3">
      <c r="A44" s="20" t="s">
        <v>70</v>
      </c>
      <c r="B44" s="2" t="s">
        <v>89</v>
      </c>
      <c r="C44" s="2" t="s">
        <v>93</v>
      </c>
    </row>
    <row r="45" spans="1:3">
      <c r="A45" s="20" t="s">
        <v>71</v>
      </c>
      <c r="B45" s="2" t="s">
        <v>89</v>
      </c>
      <c r="C45" s="2" t="s">
        <v>93</v>
      </c>
    </row>
    <row r="46" spans="1:3">
      <c r="A46" s="20" t="s">
        <v>72</v>
      </c>
      <c r="B46" s="2" t="s">
        <v>89</v>
      </c>
      <c r="C46" s="2" t="s">
        <v>93</v>
      </c>
    </row>
    <row r="47" spans="1:3">
      <c r="A47" s="20" t="s">
        <v>73</v>
      </c>
      <c r="B47" s="2" t="s">
        <v>89</v>
      </c>
      <c r="C47" s="2" t="s">
        <v>93</v>
      </c>
    </row>
    <row r="48" spans="1:3">
      <c r="A48" s="20" t="s">
        <v>74</v>
      </c>
      <c r="B48" s="2" t="s">
        <v>89</v>
      </c>
      <c r="C48" s="2" t="s">
        <v>93</v>
      </c>
    </row>
    <row r="49" spans="1:3">
      <c r="A49" s="20" t="s">
        <v>75</v>
      </c>
      <c r="B49" s="2" t="s">
        <v>89</v>
      </c>
      <c r="C49" s="2" t="s">
        <v>93</v>
      </c>
    </row>
    <row r="50" spans="1:3">
      <c r="A50" s="20" t="s">
        <v>76</v>
      </c>
      <c r="B50" s="2" t="s">
        <v>89</v>
      </c>
      <c r="C50" s="2" t="s">
        <v>93</v>
      </c>
    </row>
    <row r="51" spans="1:3">
      <c r="A51" s="20" t="s">
        <v>77</v>
      </c>
      <c r="B51" s="2" t="s">
        <v>89</v>
      </c>
      <c r="C51" s="2" t="s">
        <v>93</v>
      </c>
    </row>
    <row r="52" spans="1:3">
      <c r="A52" s="20" t="s">
        <v>78</v>
      </c>
      <c r="B52" s="2" t="s">
        <v>89</v>
      </c>
      <c r="C52" s="2" t="s">
        <v>93</v>
      </c>
    </row>
    <row r="53" spans="1:3">
      <c r="A53" s="20" t="s">
        <v>79</v>
      </c>
      <c r="B53" s="2" t="s">
        <v>89</v>
      </c>
      <c r="C53" s="2" t="s">
        <v>93</v>
      </c>
    </row>
    <row r="54" spans="1:3">
      <c r="A54" s="20" t="s">
        <v>80</v>
      </c>
      <c r="B54" s="2" t="s">
        <v>89</v>
      </c>
      <c r="C54" s="2" t="s">
        <v>93</v>
      </c>
    </row>
    <row r="55" spans="1:3">
      <c r="A55" s="20" t="s">
        <v>81</v>
      </c>
      <c r="B55" s="2" t="s">
        <v>89</v>
      </c>
      <c r="C55" s="2" t="s">
        <v>93</v>
      </c>
    </row>
    <row r="56" spans="1:3">
      <c r="A56" s="20" t="s">
        <v>82</v>
      </c>
      <c r="B56" s="2" t="s">
        <v>89</v>
      </c>
      <c r="C56" s="2" t="s">
        <v>93</v>
      </c>
    </row>
    <row r="57" spans="1:3">
      <c r="A57" s="20" t="s">
        <v>83</v>
      </c>
      <c r="B57" s="2" t="s">
        <v>89</v>
      </c>
      <c r="C57" s="2" t="s">
        <v>93</v>
      </c>
    </row>
    <row r="58" spans="1:3">
      <c r="A58" s="20" t="s">
        <v>84</v>
      </c>
      <c r="B58" s="2" t="s">
        <v>89</v>
      </c>
      <c r="C58" s="2" t="s">
        <v>93</v>
      </c>
    </row>
    <row r="59" spans="1:3">
      <c r="A59" s="20" t="s">
        <v>85</v>
      </c>
      <c r="B59" s="2" t="s">
        <v>89</v>
      </c>
      <c r="C59" s="2" t="s">
        <v>93</v>
      </c>
    </row>
    <row r="60" spans="1:3">
      <c r="A60" s="20" t="s">
        <v>86</v>
      </c>
      <c r="B60" s="2" t="s">
        <v>89</v>
      </c>
      <c r="C60" s="2" t="s">
        <v>93</v>
      </c>
    </row>
    <row r="61" spans="1:3">
      <c r="A61" s="20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7"/>
  <sheetViews>
    <sheetView tabSelected="1" workbookViewId="0">
      <selection activeCell="I6" sqref="I6"/>
    </sheetView>
  </sheetViews>
  <sheetFormatPr defaultRowHeight="14.25"/>
  <cols>
    <col min="1" max="1" width="13" style="12" bestFit="1" customWidth="1"/>
    <col min="2" max="2" width="7.46484375" style="16" bestFit="1" customWidth="1"/>
    <col min="3" max="3" width="19.265625" style="25" bestFit="1" customWidth="1"/>
    <col min="4" max="4" width="12.73046875" style="28" bestFit="1" customWidth="1"/>
    <col min="5" max="5" width="11" bestFit="1" customWidth="1"/>
    <col min="6" max="6" width="12.73046875" bestFit="1" customWidth="1"/>
    <col min="7" max="7" width="22.73046875" bestFit="1" customWidth="1"/>
    <col min="8" max="8" width="16.1328125" bestFit="1" customWidth="1"/>
    <col min="9" max="9" width="17.265625" bestFit="1" customWidth="1"/>
    <col min="10" max="10" width="15" customWidth="1"/>
  </cols>
  <sheetData>
    <row r="1" spans="1:12" ht="45.75" customHeight="1">
      <c r="A1" s="5" t="s">
        <v>0</v>
      </c>
      <c r="B1" s="21" t="str">
        <f>根据合同号的总数据通算!B1</f>
        <v>JJ0001</v>
      </c>
      <c r="C1" s="23" t="s">
        <v>96</v>
      </c>
      <c r="D1" s="17">
        <f>根据合同号的总数据通算!B3</f>
        <v>5940</v>
      </c>
      <c r="E1" s="5" t="s">
        <v>97</v>
      </c>
      <c r="F1" s="17">
        <f>根据合同号的总数据通算!C3</f>
        <v>217.62931034482756</v>
      </c>
      <c r="G1" s="5" t="s">
        <v>94</v>
      </c>
      <c r="H1" s="18">
        <v>10</v>
      </c>
      <c r="I1" s="13" t="s">
        <v>95</v>
      </c>
      <c r="J1" s="19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1"/>
      <c r="C2" s="5" t="s">
        <v>101</v>
      </c>
      <c r="D2" s="17">
        <f>根据合同号的总数据通算!B4</f>
        <v>5821.2</v>
      </c>
      <c r="E2" s="5" t="s">
        <v>97</v>
      </c>
      <c r="F2" s="17">
        <f>根据合同号的总数据通算!C4</f>
        <v>193.28203124999999</v>
      </c>
    </row>
    <row r="3" spans="1:12" ht="22.5" customHeight="1">
      <c r="B3" s="22"/>
      <c r="C3" s="5" t="s">
        <v>102</v>
      </c>
      <c r="D3" s="17">
        <f>根据合同号的总数据通算!B5</f>
        <v>5821.2</v>
      </c>
      <c r="E3" s="5" t="s">
        <v>97</v>
      </c>
      <c r="F3" s="17">
        <f>根据合同号的总数据通算!C5</f>
        <v>16.493400000000001</v>
      </c>
    </row>
    <row r="4" spans="1:12" ht="22.5" customHeight="1">
      <c r="A4" s="27"/>
      <c r="B4" s="22"/>
      <c r="C4" s="5" t="s">
        <v>103</v>
      </c>
      <c r="D4" s="17">
        <f>根据合同号的总数据通算!B6</f>
        <v>5821.2</v>
      </c>
      <c r="E4" s="5" t="s">
        <v>97</v>
      </c>
      <c r="F4" s="17">
        <f>根据合同号的总数据通算!C6</f>
        <v>37.1472972972973</v>
      </c>
    </row>
    <row r="5" spans="1:12" ht="22.5" customHeight="1">
      <c r="A5" s="27"/>
      <c r="B5" s="22"/>
      <c r="C5" s="5" t="s">
        <v>104</v>
      </c>
      <c r="D5" s="17">
        <f>根据合同号的总数据通算!B7</f>
        <v>5821.2</v>
      </c>
      <c r="E5" s="5" t="s">
        <v>97</v>
      </c>
      <c r="F5" s="17">
        <f>根据合同号的总数据通算!C7</f>
        <v>109.14749999999999</v>
      </c>
      <c r="J5" s="26"/>
    </row>
    <row r="6" spans="1:12" ht="22.5" customHeight="1">
      <c r="A6" s="27"/>
      <c r="B6" s="22"/>
      <c r="C6" s="5" t="s">
        <v>105</v>
      </c>
      <c r="D6" s="17">
        <f>根据合同号的总数据通算!B8</f>
        <v>5762.9879999999994</v>
      </c>
      <c r="E6" s="5" t="s">
        <v>97</v>
      </c>
      <c r="F6" s="17">
        <f>根据合同号的总数据通算!C8</f>
        <v>36.219896648044688</v>
      </c>
      <c r="J6" s="26"/>
    </row>
    <row r="7" spans="1:12" ht="22.5" customHeight="1">
      <c r="A7" s="27"/>
      <c r="B7" s="22"/>
      <c r="C7" s="5" t="s">
        <v>106</v>
      </c>
      <c r="D7" s="17">
        <f>根据合同号的总数据通算!B9</f>
        <v>5762.9879999999994</v>
      </c>
      <c r="E7" s="5" t="s">
        <v>97</v>
      </c>
      <c r="F7" s="17">
        <f>根据合同号的总数据通算!C9</f>
        <v>26.602126731011328</v>
      </c>
    </row>
    <row r="8" spans="1:12" ht="22.5" customHeight="1">
      <c r="A8" s="27"/>
      <c r="B8" s="22"/>
      <c r="C8" s="5" t="s">
        <v>107</v>
      </c>
      <c r="D8" s="17">
        <f>根据合同号的总数据通算!B10</f>
        <v>5762.9879999999994</v>
      </c>
      <c r="E8" s="5" t="s">
        <v>97</v>
      </c>
      <c r="F8" s="17">
        <f>根据合同号的总数据通算!C10</f>
        <v>35.454624161073824</v>
      </c>
    </row>
    <row r="9" spans="1:12" ht="22.5" customHeight="1">
      <c r="A9" s="27"/>
      <c r="B9" s="22"/>
      <c r="C9" s="5" t="s">
        <v>108</v>
      </c>
      <c r="D9" s="17">
        <f>根据合同号的总数据通算!B11</f>
        <v>5762.9879999999994</v>
      </c>
      <c r="E9" s="5" t="s">
        <v>97</v>
      </c>
      <c r="F9" s="17">
        <f>根据合同号的总数据通算!C11</f>
        <v>53.181936241610735</v>
      </c>
    </row>
    <row r="10" spans="1:12" ht="22.5" customHeight="1">
      <c r="B10" s="22"/>
      <c r="C10" s="5" t="s">
        <v>109</v>
      </c>
      <c r="D10" s="17">
        <f>根据合同号的总数据通算!B12</f>
        <v>5762.9879999999994</v>
      </c>
      <c r="E10" s="5" t="s">
        <v>97</v>
      </c>
      <c r="F10" s="17">
        <f>根据合同号的总数据通算!C12</f>
        <v>19.880437499999996</v>
      </c>
    </row>
    <row r="11" spans="1:12" ht="22.5" customHeight="1">
      <c r="B11" s="22"/>
      <c r="C11" s="5" t="s">
        <v>110</v>
      </c>
      <c r="D11" s="17">
        <f>根据合同号的总数据通算!B13</f>
        <v>5762.9879999999994</v>
      </c>
      <c r="E11" s="5" t="s">
        <v>97</v>
      </c>
      <c r="F11" s="17">
        <f>根据合同号的总数据通算!C13</f>
        <v>23.193843749999996</v>
      </c>
    </row>
    <row r="12" spans="1:12" ht="22.5" customHeight="1">
      <c r="B12" s="22"/>
      <c r="C12" s="5" t="s">
        <v>111</v>
      </c>
      <c r="D12" s="17">
        <f>根据合同号的总数据通算!B14</f>
        <v>5762.9879999999994</v>
      </c>
      <c r="E12" s="5" t="s">
        <v>97</v>
      </c>
      <c r="F12" s="17">
        <f>根据合同号的总数据通算!C14</f>
        <v>26.507249999999999</v>
      </c>
    </row>
    <row r="13" spans="1:12" ht="22.5" customHeight="1">
      <c r="B13" s="22"/>
      <c r="C13" s="5" t="s">
        <v>112</v>
      </c>
      <c r="D13" s="17">
        <f>根据合同号的总数据通算!B15</f>
        <v>5762.9879999999994</v>
      </c>
      <c r="E13" s="5" t="s">
        <v>97</v>
      </c>
      <c r="F13" s="17">
        <f>根据合同号的总数据通算!C15</f>
        <v>16.565910720324652</v>
      </c>
    </row>
    <row r="14" spans="1:12" ht="22.5" customHeight="1">
      <c r="B14" s="22"/>
      <c r="C14" s="5" t="s">
        <v>113</v>
      </c>
      <c r="D14" s="17">
        <f>根据合同号的总数据通算!B16</f>
        <v>5762.9879999999994</v>
      </c>
      <c r="E14" s="5" t="s">
        <v>97</v>
      </c>
      <c r="F14" s="17">
        <f>根据合同号的总数据通算!C16</f>
        <v>19.880437499999996</v>
      </c>
    </row>
    <row r="15" spans="1:12" ht="22.5" customHeight="1">
      <c r="B15" s="22"/>
      <c r="C15" s="5" t="s">
        <v>114</v>
      </c>
      <c r="D15" s="17">
        <f>根据合同号的总数据通算!B17</f>
        <v>5762.9879999999994</v>
      </c>
      <c r="E15" s="5" t="s">
        <v>97</v>
      </c>
      <c r="F15" s="17">
        <f>根据合同号的总数据通算!C17</f>
        <v>64.454471052631575</v>
      </c>
    </row>
    <row r="16" spans="1:12" ht="22.5" customHeight="1">
      <c r="B16" s="22"/>
      <c r="C16" s="5" t="s">
        <v>115</v>
      </c>
      <c r="D16" s="17">
        <f>根据合同号的总数据通算!B18</f>
        <v>5762.9879999999994</v>
      </c>
      <c r="E16" s="5" t="s">
        <v>97</v>
      </c>
      <c r="F16" s="17">
        <f>根据合同号的总数据通算!C18</f>
        <v>17.494784999999997</v>
      </c>
    </row>
    <row r="17" spans="2:3">
      <c r="B17" s="22"/>
      <c r="C17" s="2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PaiChan">
          <controlPr defaultSize="0" autoLine="0" r:id="rId5">
            <anchor moveWithCells="1">
              <from>
                <xdr:col>6</xdr:col>
                <xdr:colOff>47625</xdr:colOff>
                <xdr:row>1</xdr:row>
                <xdr:rowOff>38100</xdr:rowOff>
              </from>
              <to>
                <xdr:col>6</xdr:col>
                <xdr:colOff>876300</xdr:colOff>
                <xdr:row>1</xdr:row>
                <xdr:rowOff>342900</xdr:rowOff>
              </to>
            </anchor>
          </controlPr>
        </control>
      </mc:Choice>
      <mc:Fallback>
        <control shapeId="4097" r:id="rId4" name="btnPaiChan"/>
      </mc:Fallback>
    </mc:AlternateContent>
    <mc:AlternateContent xmlns:mc="http://schemas.openxmlformats.org/markup-compatibility/2006">
      <mc:Choice Requires="x14">
        <control shapeId="4099" r:id="rId6" name="CommandButton1">
          <controlPr defaultSize="0" autoLine="0" r:id="rId7">
            <anchor moveWithCells="1">
              <from>
                <xdr:col>6</xdr:col>
                <xdr:colOff>57150</xdr:colOff>
                <xdr:row>4</xdr:row>
                <xdr:rowOff>42863</xdr:rowOff>
              </from>
              <to>
                <xdr:col>6</xdr:col>
                <xdr:colOff>885825</xdr:colOff>
                <xdr:row>5</xdr:row>
                <xdr:rowOff>61913</xdr:rowOff>
              </to>
            </anchor>
          </controlPr>
        </control>
      </mc:Choice>
      <mc:Fallback>
        <control shapeId="409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Boston Hsu</cp:lastModifiedBy>
  <dcterms:created xsi:type="dcterms:W3CDTF">2016-12-28T08:08:16Z</dcterms:created>
  <dcterms:modified xsi:type="dcterms:W3CDTF">2017-03-09T02:12:31Z</dcterms:modified>
</cp:coreProperties>
</file>